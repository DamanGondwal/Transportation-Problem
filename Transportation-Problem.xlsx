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salin\Documents\"/>
    </mc:Choice>
  </mc:AlternateContent>
  <xr:revisionPtr revIDLastSave="0" documentId="13_ncr:1_{31CE3084-C969-4CB9-86B9-266B02322771}" xr6:coauthVersionLast="47" xr6:coauthVersionMax="47" xr10:uidLastSave="{00000000-0000-0000-0000-000000000000}"/>
  <bookViews>
    <workbookView xWindow="-120" yWindow="-120" windowWidth="20730" windowHeight="11160" activeTab="3" xr2:uid="{4BF92661-CEE4-4E81-855D-3702F2D307AB}"/>
  </bookViews>
  <sheets>
    <sheet name="Dataset (Case 1)" sheetId="1" r:id="rId1"/>
    <sheet name="Solution of Case 1" sheetId="2" r:id="rId2"/>
    <sheet name="Dataset (Case 2)" sheetId="3" r:id="rId3"/>
    <sheet name="Solution of Case 2" sheetId="4" r:id="rId4"/>
  </sheets>
  <definedNames>
    <definedName name="solver_adj" localSheetId="1" hidden="1">'Solution of Case 1'!$C$10:$E$12</definedName>
    <definedName name="solver_adj" localSheetId="3" hidden="1">'Solution of Case 2'!$C$14:$H$19</definedName>
    <definedName name="solver_cvg" localSheetId="1" hidden="1">0.0001</definedName>
    <definedName name="solver_cvg" localSheetId="3" hidden="1">0.0001</definedName>
    <definedName name="solver_drv" localSheetId="1" hidden="1">2</definedName>
    <definedName name="solver_drv" localSheetId="3" hidden="1">1</definedName>
    <definedName name="solver_eng" localSheetId="1" hidden="1">2</definedName>
    <definedName name="solver_eng" localSheetId="3" hidden="1">2</definedName>
    <definedName name="solver_est" localSheetId="1" hidden="1">1</definedName>
    <definedName name="solver_est" localSheetId="3" hidden="1">1</definedName>
    <definedName name="solver_itr" localSheetId="1" hidden="1">2147483647</definedName>
    <definedName name="solver_itr" localSheetId="3" hidden="1">2147483647</definedName>
    <definedName name="solver_lhs1" localSheetId="1" hidden="1">'Solution of Case 1'!$C$15:$E$15</definedName>
    <definedName name="solver_lhs1" localSheetId="3" hidden="1">'Solution of Case 2'!$C$21:$H$21</definedName>
    <definedName name="solver_lhs2" localSheetId="1" hidden="1">'Solution of Case 1'!$G$10:$G$12</definedName>
    <definedName name="solver_lhs2" localSheetId="3" hidden="1">'Solution of Case 2'!$J$14:$J$19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2</definedName>
    <definedName name="solver_num" localSheetId="3" hidden="1">2</definedName>
    <definedName name="solver_nwt" localSheetId="1" hidden="1">1</definedName>
    <definedName name="solver_nwt" localSheetId="3" hidden="1">1</definedName>
    <definedName name="solver_opt" localSheetId="1" hidden="1">'Solution of Case 1'!$G$5</definedName>
    <definedName name="solver_opt" localSheetId="3" hidden="1">'Solution of Case 2'!$K$11</definedName>
    <definedName name="solver_pre" localSheetId="1" hidden="1">0.000001</definedName>
    <definedName name="solver_pre" localSheetId="3" hidden="1">0.000001</definedName>
    <definedName name="solver_rbv" localSheetId="1" hidden="1">2</definedName>
    <definedName name="solver_rbv" localSheetId="3" hidden="1">1</definedName>
    <definedName name="solver_rel1" localSheetId="1" hidden="1">3</definedName>
    <definedName name="solver_rel1" localSheetId="3" hidden="1">3</definedName>
    <definedName name="solver_rel2" localSheetId="1" hidden="1">1</definedName>
    <definedName name="solver_rel2" localSheetId="3" hidden="1">1</definedName>
    <definedName name="solver_rhs1" localSheetId="1" hidden="1">'Solution of Case 1'!$C$17:$E$17</definedName>
    <definedName name="solver_rhs1" localSheetId="3" hidden="1">'Solution of Case 2'!$C$23:$H$23</definedName>
    <definedName name="solver_rhs2" localSheetId="1" hidden="1">'Solution of Case 1'!$I$10:$I$12</definedName>
    <definedName name="solver_rhs2" localSheetId="3" hidden="1">'Solution of Case 2'!$L$14:$L$19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2</definedName>
    <definedName name="solver_scl" localSheetId="3" hidden="1">1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0.01</definedName>
    <definedName name="solver_tol" localSheetId="3" hidden="1">0.01</definedName>
    <definedName name="solver_typ" localSheetId="1" hidden="1">2</definedName>
    <definedName name="solver_typ" localSheetId="3" hidden="1">1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E21" i="4"/>
  <c r="F21" i="4"/>
  <c r="G21" i="4"/>
  <c r="H21" i="4"/>
  <c r="C21" i="4"/>
  <c r="J14" i="4"/>
  <c r="K5" i="4" s="1"/>
  <c r="J15" i="4"/>
  <c r="K6" i="4" s="1"/>
  <c r="J16" i="4"/>
  <c r="K7" i="4" s="1"/>
  <c r="J17" i="4"/>
  <c r="K8" i="4" s="1"/>
  <c r="J18" i="4"/>
  <c r="K9" i="4" s="1"/>
  <c r="J19" i="4"/>
  <c r="K10" i="4" s="1"/>
  <c r="D15" i="2"/>
  <c r="E15" i="2"/>
  <c r="C15" i="2"/>
  <c r="G11" i="2"/>
  <c r="G12" i="2"/>
  <c r="G10" i="2"/>
  <c r="G5" i="2"/>
  <c r="K11" i="4" l="1"/>
</calcChain>
</file>

<file path=xl/sharedStrings.xml><?xml version="1.0" encoding="utf-8"?>
<sst xmlns="http://schemas.openxmlformats.org/spreadsheetml/2006/main" count="116" uniqueCount="36">
  <si>
    <t>Northern</t>
  </si>
  <si>
    <t>Central</t>
  </si>
  <si>
    <t>Southern</t>
  </si>
  <si>
    <t>Cost</t>
  </si>
  <si>
    <t>Sent</t>
  </si>
  <si>
    <t>Capacity</t>
  </si>
  <si>
    <t>&lt;=</t>
  </si>
  <si>
    <t>Received</t>
  </si>
  <si>
    <t>&gt;=</t>
  </si>
  <si>
    <t>Demand</t>
  </si>
  <si>
    <t>Dataset Overview</t>
  </si>
  <si>
    <t>Minimizing Total Shipping Cost</t>
  </si>
  <si>
    <t>Unit Shipping Cost</t>
  </si>
  <si>
    <t>Variable Cost</t>
  </si>
  <si>
    <t>Plant 1</t>
  </si>
  <si>
    <t>Plant 2</t>
  </si>
  <si>
    <t>Plant 3</t>
  </si>
  <si>
    <t>Plant 4</t>
  </si>
  <si>
    <t>Plant 5</t>
  </si>
  <si>
    <t>Plant 6</t>
  </si>
  <si>
    <t>Profit</t>
  </si>
  <si>
    <t>Total Profit</t>
  </si>
  <si>
    <t>Maximizing After-Tax Profit</t>
  </si>
  <si>
    <t>Sales Price</t>
  </si>
  <si>
    <t>Tax Rate</t>
  </si>
  <si>
    <t>Objective</t>
  </si>
  <si>
    <t>Constraint 1</t>
  </si>
  <si>
    <t>Constraint 2</t>
  </si>
  <si>
    <t>Area 1</t>
  </si>
  <si>
    <t>Area 2</t>
  </si>
  <si>
    <t>Area 3</t>
  </si>
  <si>
    <t>Area 4</t>
  </si>
  <si>
    <t>Area 5</t>
  </si>
  <si>
    <t>Area 6</t>
  </si>
  <si>
    <t>Problem Overview</t>
  </si>
  <si>
    <t>Annual
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</si>
</sst>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;[Red]&quot;$&quot;#,##0"/>
    <numFmt numFmtId="165" formatCode="#,##0;[Red]#,##0"/>
  </numFmts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7" borderId="1" xfId="1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6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/>
    <xf numFmtId="3" fontId="0" fillId="0" borderId="2" xfId="0" applyNumberFormat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6" fontId="0" fillId="0" borderId="2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AC21-EC17-4231-B543-8D6507E7B7F9}">
  <dimension ref="B2:E8"/>
  <sheetViews>
    <sheetView showGridLines="0" workbookViewId="0">
      <selection activeCell="F9" sqref="F9"/>
    </sheetView>
  </sheetViews>
  <sheetFormatPr defaultRowHeight="20.100000000000001" customHeight="1" x14ac:dyDescent="0.25"/>
  <cols>
    <col min="1" max="1" width="3.42578125" style="1" customWidth="1"/>
    <col min="2" max="5" width="12.7109375" style="1" customWidth="1"/>
    <col min="6" max="6" width="30.42578125" style="1" customWidth="1"/>
    <col min="7" max="7" width="12.140625" style="1" customWidth="1"/>
    <col min="8" max="16384" width="9.140625" style="1"/>
  </cols>
  <sheetData>
    <row r="2" spans="2:5" ht="20.100000000000001" customHeight="1" thickBot="1" x14ac:dyDescent="0.3">
      <c r="B2" s="12" t="s">
        <v>10</v>
      </c>
      <c r="C2" s="12"/>
      <c r="D2" s="12"/>
      <c r="E2" s="12"/>
    </row>
    <row r="3" spans="2:5" ht="20.100000000000001" customHeight="1" thickTop="1" x14ac:dyDescent="0.25"/>
    <row r="4" spans="2:5" ht="20.100000000000001" customHeight="1" x14ac:dyDescent="0.25">
      <c r="B4" s="4"/>
      <c r="C4" s="7" t="s">
        <v>0</v>
      </c>
      <c r="D4" s="7" t="s">
        <v>1</v>
      </c>
      <c r="E4" s="7" t="s">
        <v>2</v>
      </c>
    </row>
    <row r="5" spans="2:5" ht="20.100000000000001" customHeight="1" x14ac:dyDescent="0.25">
      <c r="B5" s="8" t="s">
        <v>0</v>
      </c>
      <c r="C5" s="5">
        <v>5000</v>
      </c>
      <c r="D5" s="5">
        <v>7000</v>
      </c>
      <c r="E5" s="5">
        <v>8000</v>
      </c>
    </row>
    <row r="6" spans="2:5" ht="20.100000000000001" customHeight="1" x14ac:dyDescent="0.25">
      <c r="B6" s="8" t="s">
        <v>1</v>
      </c>
      <c r="C6" s="5">
        <v>7000</v>
      </c>
      <c r="D6" s="5">
        <v>5000</v>
      </c>
      <c r="E6" s="5">
        <v>6000</v>
      </c>
    </row>
    <row r="7" spans="2:5" ht="20.100000000000001" customHeight="1" x14ac:dyDescent="0.25">
      <c r="B7" s="8" t="s">
        <v>2</v>
      </c>
      <c r="C7" s="5">
        <v>8000</v>
      </c>
      <c r="D7" s="5">
        <v>6000</v>
      </c>
      <c r="E7" s="5">
        <v>5000</v>
      </c>
    </row>
    <row r="8" spans="2:5" ht="75.75" customHeight="1" x14ac:dyDescent="0.25"/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3BDC-3CAF-432C-B038-C399C356AB32}">
  <dimension ref="B2:P19"/>
  <sheetViews>
    <sheetView showGridLines="0" workbookViewId="0">
      <selection activeCell="J12" sqref="J12"/>
    </sheetView>
  </sheetViews>
  <sheetFormatPr defaultRowHeight="20.100000000000001" customHeight="1" x14ac:dyDescent="0.25"/>
  <cols>
    <col min="1" max="1" width="3.42578125" style="1" customWidth="1"/>
    <col min="2" max="5" width="12.7109375" style="1" customWidth="1"/>
    <col min="6" max="6" width="3.7109375" style="1" customWidth="1"/>
    <col min="7" max="7" width="13.28515625" style="1" customWidth="1"/>
    <col min="8" max="8" width="5" style="1" customWidth="1"/>
    <col min="9" max="9" width="12.140625" style="1" customWidth="1"/>
    <col min="10" max="10" width="40.7109375" style="1" customWidth="1"/>
    <col min="11" max="16384" width="9.140625" style="1"/>
  </cols>
  <sheetData>
    <row r="2" spans="2:16" ht="20.100000000000001" customHeight="1" thickBot="1" x14ac:dyDescent="0.3">
      <c r="B2" s="12" t="s">
        <v>11</v>
      </c>
      <c r="C2" s="12"/>
      <c r="D2" s="12"/>
      <c r="E2" s="12"/>
      <c r="F2" s="12"/>
      <c r="G2" s="12"/>
      <c r="H2" s="12"/>
      <c r="I2" s="12"/>
    </row>
    <row r="3" spans="2:16" ht="20.100000000000001" customHeight="1" thickTop="1" x14ac:dyDescent="0.25">
      <c r="G3" s="31" t="s">
        <v>25</v>
      </c>
      <c r="H3" s="31"/>
      <c r="I3" s="31"/>
    </row>
    <row r="4" spans="2:16" ht="20.100000000000001" customHeight="1" x14ac:dyDescent="0.25">
      <c r="B4" s="4"/>
      <c r="C4" s="7" t="s">
        <v>0</v>
      </c>
      <c r="D4" s="7" t="s">
        <v>1</v>
      </c>
      <c r="E4" s="7" t="s">
        <v>2</v>
      </c>
      <c r="G4" s="29" t="s">
        <v>3</v>
      </c>
      <c r="H4" s="29"/>
      <c r="I4" s="29"/>
    </row>
    <row r="5" spans="2:16" ht="20.100000000000001" customHeight="1" x14ac:dyDescent="0.25">
      <c r="B5" s="8" t="s">
        <v>0</v>
      </c>
      <c r="C5" s="5">
        <v>5000</v>
      </c>
      <c r="D5" s="5">
        <v>7000</v>
      </c>
      <c r="E5" s="5">
        <v>8000</v>
      </c>
      <c r="G5" s="30">
        <f>SUMPRODUCT(C5:E7,C10:E12)</f>
        <v>1580000</v>
      </c>
      <c r="H5" s="30"/>
      <c r="I5" s="30"/>
    </row>
    <row r="6" spans="2:16" ht="20.100000000000001" customHeight="1" x14ac:dyDescent="0.25">
      <c r="B6" s="8" t="s">
        <v>1</v>
      </c>
      <c r="C6" s="5">
        <v>7000</v>
      </c>
      <c r="D6" s="5">
        <v>5000</v>
      </c>
      <c r="E6" s="5">
        <v>6000</v>
      </c>
    </row>
    <row r="7" spans="2:16" ht="20.100000000000001" customHeight="1" x14ac:dyDescent="0.25">
      <c r="B7" s="8" t="s">
        <v>2</v>
      </c>
      <c r="C7" s="5">
        <v>8000</v>
      </c>
      <c r="D7" s="5">
        <v>6000</v>
      </c>
      <c r="E7" s="5">
        <v>5000</v>
      </c>
    </row>
    <row r="8" spans="2:16" ht="20.100000000000001" customHeight="1" x14ac:dyDescent="0.25">
      <c r="G8" s="32" t="s">
        <v>27</v>
      </c>
      <c r="H8" s="32"/>
      <c r="I8" s="32"/>
      <c r="P8" s="3"/>
    </row>
    <row r="9" spans="2:16" ht="20.100000000000001" customHeight="1" x14ac:dyDescent="0.25">
      <c r="B9" s="4"/>
      <c r="C9" s="7" t="s">
        <v>0</v>
      </c>
      <c r="D9" s="7" t="s">
        <v>1</v>
      </c>
      <c r="E9" s="7" t="s">
        <v>2</v>
      </c>
      <c r="G9" s="9" t="s">
        <v>4</v>
      </c>
      <c r="H9" s="4"/>
      <c r="I9" s="9" t="s">
        <v>5</v>
      </c>
    </row>
    <row r="10" spans="2:16" ht="20.100000000000001" customHeight="1" x14ac:dyDescent="0.25">
      <c r="B10" s="8" t="s">
        <v>0</v>
      </c>
      <c r="C10" s="6">
        <v>100</v>
      </c>
      <c r="D10" s="6">
        <v>0</v>
      </c>
      <c r="E10" s="6">
        <v>20</v>
      </c>
      <c r="G10" s="6">
        <f>SUM(C10:E10)</f>
        <v>120</v>
      </c>
      <c r="H10" s="4" t="s">
        <v>6</v>
      </c>
      <c r="I10" s="2">
        <v>120</v>
      </c>
    </row>
    <row r="11" spans="2:16" ht="20.100000000000001" customHeight="1" x14ac:dyDescent="0.25">
      <c r="B11" s="8" t="s">
        <v>1</v>
      </c>
      <c r="C11" s="6">
        <v>0</v>
      </c>
      <c r="D11" s="6">
        <v>100</v>
      </c>
      <c r="E11" s="6">
        <v>20</v>
      </c>
      <c r="G11" s="6">
        <f>SUM(C11:E11)</f>
        <v>120</v>
      </c>
      <c r="H11" s="4" t="s">
        <v>6</v>
      </c>
      <c r="I11" s="2">
        <v>120</v>
      </c>
      <c r="P11" s="3"/>
    </row>
    <row r="12" spans="2:16" ht="20.100000000000001" customHeight="1" x14ac:dyDescent="0.25">
      <c r="B12" s="8" t="s">
        <v>2</v>
      </c>
      <c r="C12" s="6">
        <v>0</v>
      </c>
      <c r="D12" s="6">
        <v>0</v>
      </c>
      <c r="E12" s="6">
        <v>60</v>
      </c>
      <c r="G12" s="6">
        <f t="shared" ref="G11:G12" si="0">SUM(C12:E12)</f>
        <v>60</v>
      </c>
      <c r="H12" s="4" t="s">
        <v>6</v>
      </c>
      <c r="I12" s="2">
        <v>60</v>
      </c>
    </row>
    <row r="13" spans="2:16" customFormat="1" ht="20.100000000000001" customHeight="1" x14ac:dyDescent="0.25"/>
    <row r="14" spans="2:16" ht="20.100000000000001" customHeight="1" x14ac:dyDescent="0.25">
      <c r="C14" s="33" t="s">
        <v>26</v>
      </c>
      <c r="D14" s="33"/>
    </row>
    <row r="15" spans="2:16" ht="20.100000000000001" customHeight="1" x14ac:dyDescent="0.25">
      <c r="B15" s="11" t="s">
        <v>7</v>
      </c>
      <c r="C15" s="6">
        <f>SUM(C$10:C$12)</f>
        <v>100</v>
      </c>
      <c r="D15" s="6">
        <f t="shared" ref="D15:E15" si="1">SUM(D$10:D$12)</f>
        <v>100</v>
      </c>
      <c r="E15" s="6">
        <f t="shared" si="1"/>
        <v>100</v>
      </c>
    </row>
    <row r="16" spans="2:16" ht="20.100000000000001" customHeight="1" x14ac:dyDescent="0.25">
      <c r="B16" s="4"/>
      <c r="C16" s="4" t="s">
        <v>8</v>
      </c>
      <c r="D16" s="4" t="s">
        <v>8</v>
      </c>
      <c r="E16" s="4" t="s">
        <v>8</v>
      </c>
    </row>
    <row r="17" spans="2:5" ht="20.100000000000001" customHeight="1" x14ac:dyDescent="0.25">
      <c r="B17" s="11" t="s">
        <v>9</v>
      </c>
      <c r="C17" s="2">
        <v>100</v>
      </c>
      <c r="D17" s="2">
        <v>100</v>
      </c>
      <c r="E17" s="2">
        <v>100</v>
      </c>
    </row>
    <row r="18" spans="2:5" ht="66" customHeight="1" x14ac:dyDescent="0.25"/>
    <row r="19" spans="2:5" ht="78.75" customHeight="1" x14ac:dyDescent="0.25"/>
  </sheetData>
  <mergeCells count="6">
    <mergeCell ref="C14:D14"/>
    <mergeCell ref="B2:I2"/>
    <mergeCell ref="G4:I4"/>
    <mergeCell ref="G5:I5"/>
    <mergeCell ref="G3:I3"/>
    <mergeCell ref="G8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280A-CDC1-4E5A-B3D2-6D362D57143B}">
  <dimension ref="B2:V20"/>
  <sheetViews>
    <sheetView showGridLines="0" workbookViewId="0">
      <selection activeCell="B5" sqref="B5"/>
    </sheetView>
  </sheetViews>
  <sheetFormatPr defaultRowHeight="20.100000000000001" customHeight="1" x14ac:dyDescent="0.25"/>
  <cols>
    <col min="1" max="1" width="3.7109375" style="1" customWidth="1"/>
    <col min="2" max="2" width="14.7109375" style="1" customWidth="1"/>
    <col min="3" max="8" width="12.140625" style="1" customWidth="1"/>
    <col min="9" max="9" width="20" style="1" customWidth="1"/>
    <col min="10" max="16384" width="9.140625" style="1"/>
  </cols>
  <sheetData>
    <row r="2" spans="2:22" ht="20.100000000000001" customHeight="1" thickBot="1" x14ac:dyDescent="0.3">
      <c r="B2" s="12" t="s">
        <v>34</v>
      </c>
      <c r="C2" s="12"/>
      <c r="D2" s="12"/>
      <c r="E2" s="12"/>
      <c r="F2" s="12"/>
      <c r="G2" s="12"/>
      <c r="H2" s="12"/>
    </row>
    <row r="3" spans="2:22" ht="20.100000000000001" customHeight="1" thickTop="1" x14ac:dyDescent="0.25"/>
    <row r="4" spans="2:22" ht="20.100000000000001" customHeight="1" x14ac:dyDescent="0.25">
      <c r="C4" s="19" t="s">
        <v>28</v>
      </c>
      <c r="D4" s="19" t="s">
        <v>29</v>
      </c>
      <c r="E4" s="19" t="s">
        <v>30</v>
      </c>
      <c r="F4" s="19" t="s">
        <v>31</v>
      </c>
      <c r="G4" s="19" t="s">
        <v>32</v>
      </c>
      <c r="H4" s="19" t="s">
        <v>33</v>
      </c>
    </row>
    <row r="5" spans="2:22" ht="20.100000000000001" customHeight="1" x14ac:dyDescent="0.25">
      <c r="B5" s="7" t="s">
        <v>23</v>
      </c>
      <c r="C5" s="14">
        <v>45</v>
      </c>
      <c r="D5" s="14">
        <v>40</v>
      </c>
      <c r="E5" s="14">
        <v>38</v>
      </c>
      <c r="F5" s="14">
        <v>36</v>
      </c>
      <c r="G5" s="14">
        <v>39</v>
      </c>
      <c r="H5" s="14">
        <v>34</v>
      </c>
    </row>
    <row r="6" spans="2:22" ht="20.100000000000001" customHeight="1" x14ac:dyDescent="0.25">
      <c r="B6"/>
      <c r="C6" s="18" t="s">
        <v>14</v>
      </c>
      <c r="D6" s="18" t="s">
        <v>15</v>
      </c>
      <c r="E6" s="18" t="s">
        <v>16</v>
      </c>
      <c r="F6" s="18" t="s">
        <v>17</v>
      </c>
      <c r="G6" s="18" t="s">
        <v>18</v>
      </c>
      <c r="H6" s="18" t="s">
        <v>19</v>
      </c>
    </row>
    <row r="7" spans="2:22" ht="20.100000000000001" customHeight="1" x14ac:dyDescent="0.25">
      <c r="B7" s="16" t="s">
        <v>13</v>
      </c>
      <c r="C7" s="14">
        <v>8</v>
      </c>
      <c r="D7" s="14">
        <v>7</v>
      </c>
      <c r="E7" s="14">
        <v>6</v>
      </c>
      <c r="F7" s="14">
        <v>9</v>
      </c>
      <c r="G7" s="14">
        <v>7</v>
      </c>
      <c r="H7" s="14">
        <v>7</v>
      </c>
      <c r="N7"/>
      <c r="O7"/>
      <c r="P7"/>
      <c r="Q7"/>
      <c r="R7"/>
      <c r="S7"/>
      <c r="T7"/>
      <c r="U7"/>
      <c r="V7"/>
    </row>
    <row r="8" spans="2:22" ht="20.100000000000001" customHeight="1" x14ac:dyDescent="0.25">
      <c r="B8" s="17" t="s">
        <v>24</v>
      </c>
      <c r="C8" s="15">
        <v>0.31</v>
      </c>
      <c r="D8" s="15">
        <v>0.4</v>
      </c>
      <c r="E8" s="15">
        <v>0.2</v>
      </c>
      <c r="F8" s="15">
        <v>0.4</v>
      </c>
      <c r="G8" s="15">
        <v>0.35</v>
      </c>
      <c r="H8" s="15">
        <v>0.18</v>
      </c>
    </row>
    <row r="10" spans="2:22" ht="20.100000000000001" customHeight="1" x14ac:dyDescent="0.25">
      <c r="B10" s="36" t="s">
        <v>35</v>
      </c>
      <c r="C10" s="19" t="s">
        <v>28</v>
      </c>
      <c r="D10" s="19" t="s">
        <v>29</v>
      </c>
      <c r="E10" s="19" t="s">
        <v>30</v>
      </c>
      <c r="F10" s="19" t="s">
        <v>31</v>
      </c>
      <c r="G10" s="19" t="s">
        <v>32</v>
      </c>
      <c r="H10" s="19" t="s">
        <v>33</v>
      </c>
    </row>
    <row r="11" spans="2:22" ht="20.100000000000001" customHeight="1" x14ac:dyDescent="0.25">
      <c r="B11" s="34"/>
      <c r="C11" s="22">
        <v>1000000</v>
      </c>
      <c r="D11" s="22">
        <v>2000000</v>
      </c>
      <c r="E11" s="22">
        <v>3000000</v>
      </c>
      <c r="F11" s="22">
        <v>4000000</v>
      </c>
      <c r="G11" s="22">
        <v>5000000</v>
      </c>
      <c r="H11" s="22">
        <v>6000000</v>
      </c>
    </row>
    <row r="13" spans="2:22" ht="20.100000000000001" customHeight="1" x14ac:dyDescent="0.25">
      <c r="B13" s="35"/>
      <c r="C13" s="19" t="s">
        <v>28</v>
      </c>
      <c r="D13" s="19" t="s">
        <v>29</v>
      </c>
      <c r="E13" s="19" t="s">
        <v>30</v>
      </c>
      <c r="F13" s="19" t="s">
        <v>31</v>
      </c>
      <c r="G13" s="19" t="s">
        <v>32</v>
      </c>
      <c r="H13" s="19" t="s">
        <v>33</v>
      </c>
    </row>
    <row r="14" spans="2:22" ht="20.100000000000001" customHeight="1" x14ac:dyDescent="0.25">
      <c r="B14" s="18" t="s">
        <v>14</v>
      </c>
      <c r="C14" s="5">
        <v>3</v>
      </c>
      <c r="D14" s="5">
        <v>4</v>
      </c>
      <c r="E14" s="5">
        <v>5</v>
      </c>
      <c r="F14" s="5">
        <v>6</v>
      </c>
      <c r="G14" s="5">
        <v>7</v>
      </c>
      <c r="H14" s="5">
        <v>8</v>
      </c>
    </row>
    <row r="15" spans="2:22" customFormat="1" ht="20.100000000000001" customHeight="1" x14ac:dyDescent="0.25">
      <c r="B15" s="18" t="s">
        <v>15</v>
      </c>
      <c r="C15" s="5">
        <v>5</v>
      </c>
      <c r="D15" s="5">
        <v>2</v>
      </c>
      <c r="E15" s="5">
        <v>6</v>
      </c>
      <c r="F15" s="5">
        <v>9</v>
      </c>
      <c r="G15" s="5">
        <v>10</v>
      </c>
      <c r="H15" s="5">
        <v>11</v>
      </c>
      <c r="N15" s="1"/>
      <c r="O15" s="1"/>
      <c r="P15" s="1"/>
      <c r="Q15" s="1"/>
      <c r="R15" s="1"/>
      <c r="S15" s="1"/>
      <c r="T15" s="1"/>
      <c r="U15" s="1"/>
      <c r="V15" s="1"/>
    </row>
    <row r="16" spans="2:22" ht="20.100000000000001" customHeight="1" x14ac:dyDescent="0.25">
      <c r="B16" s="18" t="s">
        <v>16</v>
      </c>
      <c r="C16" s="5">
        <v>4</v>
      </c>
      <c r="D16" s="5">
        <v>3</v>
      </c>
      <c r="E16" s="5">
        <v>1</v>
      </c>
      <c r="F16" s="5">
        <v>6</v>
      </c>
      <c r="G16" s="5">
        <v>8</v>
      </c>
      <c r="H16" s="5">
        <v>6</v>
      </c>
    </row>
    <row r="17" spans="2:8" ht="20.100000000000001" customHeight="1" x14ac:dyDescent="0.25">
      <c r="B17" s="18" t="s">
        <v>17</v>
      </c>
      <c r="C17" s="5">
        <v>5</v>
      </c>
      <c r="D17" s="5">
        <v>5</v>
      </c>
      <c r="E17" s="5">
        <v>7</v>
      </c>
      <c r="F17" s="5">
        <v>2</v>
      </c>
      <c r="G17" s="5">
        <v>5</v>
      </c>
      <c r="H17" s="5">
        <v>5</v>
      </c>
    </row>
    <row r="18" spans="2:8" ht="20.100000000000001" customHeight="1" x14ac:dyDescent="0.25">
      <c r="B18" s="18" t="s">
        <v>18</v>
      </c>
      <c r="C18" s="5">
        <v>6</v>
      </c>
      <c r="D18" s="5">
        <v>9</v>
      </c>
      <c r="E18" s="5">
        <v>6</v>
      </c>
      <c r="F18" s="5">
        <v>5</v>
      </c>
      <c r="G18" s="5">
        <v>3</v>
      </c>
      <c r="H18" s="5">
        <v>7</v>
      </c>
    </row>
    <row r="19" spans="2:8" ht="20.100000000000001" customHeight="1" x14ac:dyDescent="0.25">
      <c r="B19" s="18" t="s">
        <v>19</v>
      </c>
      <c r="C19" s="5">
        <v>7</v>
      </c>
      <c r="D19" s="5">
        <v>7</v>
      </c>
      <c r="E19" s="5">
        <v>8</v>
      </c>
      <c r="F19" s="5">
        <v>9</v>
      </c>
      <c r="G19" s="5">
        <v>10</v>
      </c>
      <c r="H19" s="5">
        <v>4</v>
      </c>
    </row>
    <row r="20" spans="2:8" ht="39.75" customHeight="1" x14ac:dyDescent="0.25"/>
  </sheetData>
  <mergeCells count="2">
    <mergeCell ref="B2:H2"/>
    <mergeCell ref="B10:B1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BCD2-F6B8-4FBC-A508-181F15E53E26}">
  <dimension ref="B2:Q24"/>
  <sheetViews>
    <sheetView showGridLines="0" tabSelected="1" zoomScaleNormal="100" workbookViewId="0">
      <pane ySplit="2" topLeftCell="A3" activePane="bottomLeft" state="frozen"/>
      <selection pane="bottomLeft" activeCell="B4" sqref="B4"/>
    </sheetView>
  </sheetViews>
  <sheetFormatPr defaultRowHeight="20.100000000000001" customHeight="1" x14ac:dyDescent="0.25"/>
  <cols>
    <col min="1" max="1" width="3.7109375" style="1" customWidth="1"/>
    <col min="2" max="2" width="11.28515625" style="1" bestFit="1" customWidth="1"/>
    <col min="3" max="3" width="10.140625" style="1" bestFit="1" customWidth="1"/>
    <col min="4" max="8" width="9.140625" style="1"/>
    <col min="9" max="9" width="9.7109375" style="1" customWidth="1"/>
    <col min="10" max="10" width="12.140625" style="1" bestFit="1" customWidth="1"/>
    <col min="11" max="11" width="4.7109375" style="1" customWidth="1"/>
    <col min="12" max="12" width="9.85546875" style="1" bestFit="1" customWidth="1"/>
    <col min="13" max="13" width="31" style="1" customWidth="1"/>
    <col min="14" max="16384" width="9.140625" style="1"/>
  </cols>
  <sheetData>
    <row r="2" spans="2:17" ht="20.100000000000001" customHeight="1" thickBot="1" x14ac:dyDescent="0.3">
      <c r="B2" s="12" t="s">
        <v>22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7" ht="20.100000000000001" customHeight="1" thickTop="1" x14ac:dyDescent="0.25"/>
    <row r="4" spans="2:17" ht="47.25" x14ac:dyDescent="0.25">
      <c r="B4" s="13" t="s">
        <v>12</v>
      </c>
      <c r="C4" s="19" t="s">
        <v>28</v>
      </c>
      <c r="D4" s="19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16" t="s">
        <v>13</v>
      </c>
      <c r="J4" s="17" t="s">
        <v>24</v>
      </c>
      <c r="K4" s="27" t="s">
        <v>20</v>
      </c>
      <c r="L4" s="27"/>
    </row>
    <row r="5" spans="2:17" ht="20.100000000000001" customHeight="1" x14ac:dyDescent="0.25">
      <c r="B5" s="18" t="s">
        <v>14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14">
        <v>8</v>
      </c>
      <c r="J5" s="15">
        <v>0.31</v>
      </c>
      <c r="K5" s="28">
        <f>(SUMPRODUCT(C14:H14,$C$11:$H$11) -J14*I5 - SUMPRODUCT(C14:H14,C5:H5))*J5</f>
        <v>63240000</v>
      </c>
      <c r="L5" s="28"/>
      <c r="P5" s="25"/>
    </row>
    <row r="6" spans="2:17" ht="20.100000000000001" customHeight="1" x14ac:dyDescent="0.25">
      <c r="B6" s="18" t="s">
        <v>15</v>
      </c>
      <c r="C6" s="5">
        <v>5</v>
      </c>
      <c r="D6" s="5">
        <v>2</v>
      </c>
      <c r="E6" s="5">
        <v>6</v>
      </c>
      <c r="F6" s="5">
        <v>9</v>
      </c>
      <c r="G6" s="5">
        <v>10</v>
      </c>
      <c r="H6" s="5">
        <v>11</v>
      </c>
      <c r="I6" s="14">
        <v>7</v>
      </c>
      <c r="J6" s="15">
        <v>0.4</v>
      </c>
      <c r="K6" s="28">
        <f t="shared" ref="K6:K11" si="0">(SUMPRODUCT(C15:H15,$C$11:$H$11) -J15*I6 - SUMPRODUCT(C15:H15,C6:H6))*J6</f>
        <v>77600000</v>
      </c>
      <c r="L6" s="28"/>
      <c r="M6" s="24"/>
      <c r="Q6" s="25"/>
    </row>
    <row r="7" spans="2:17" ht="20.100000000000001" customHeight="1" x14ac:dyDescent="0.25">
      <c r="B7" s="18" t="s">
        <v>16</v>
      </c>
      <c r="C7" s="5">
        <v>4</v>
      </c>
      <c r="D7" s="5">
        <v>3</v>
      </c>
      <c r="E7" s="5">
        <v>1</v>
      </c>
      <c r="F7" s="5">
        <v>6</v>
      </c>
      <c r="G7" s="5">
        <v>8</v>
      </c>
      <c r="H7" s="5">
        <v>6</v>
      </c>
      <c r="I7" s="14">
        <v>6</v>
      </c>
      <c r="J7" s="15">
        <v>0.2</v>
      </c>
      <c r="K7" s="28">
        <f t="shared" si="0"/>
        <v>33000000</v>
      </c>
      <c r="L7" s="28"/>
      <c r="M7" s="25"/>
    </row>
    <row r="8" spans="2:17" ht="20.100000000000001" customHeight="1" x14ac:dyDescent="0.25">
      <c r="B8" s="18" t="s">
        <v>17</v>
      </c>
      <c r="C8" s="5">
        <v>5</v>
      </c>
      <c r="D8" s="5">
        <v>5</v>
      </c>
      <c r="E8" s="5">
        <v>7</v>
      </c>
      <c r="F8" s="5">
        <v>2</v>
      </c>
      <c r="G8" s="5">
        <v>5</v>
      </c>
      <c r="H8" s="5">
        <v>5</v>
      </c>
      <c r="I8" s="14">
        <v>9</v>
      </c>
      <c r="J8" s="15">
        <v>0.4</v>
      </c>
      <c r="K8" s="28">
        <f t="shared" si="0"/>
        <v>72000000</v>
      </c>
      <c r="L8" s="28"/>
      <c r="M8" s="3"/>
    </row>
    <row r="9" spans="2:17" ht="20.100000000000001" customHeight="1" x14ac:dyDescent="0.25">
      <c r="B9" s="18" t="s">
        <v>18</v>
      </c>
      <c r="C9" s="5">
        <v>6</v>
      </c>
      <c r="D9" s="5">
        <v>9</v>
      </c>
      <c r="E9" s="5">
        <v>6</v>
      </c>
      <c r="F9" s="5">
        <v>5</v>
      </c>
      <c r="G9" s="5">
        <v>3</v>
      </c>
      <c r="H9" s="5">
        <v>7</v>
      </c>
      <c r="I9" s="14">
        <v>7</v>
      </c>
      <c r="J9" s="15">
        <v>0.35</v>
      </c>
      <c r="K9" s="28">
        <f t="shared" si="0"/>
        <v>61949999.999999993</v>
      </c>
      <c r="L9" s="28"/>
      <c r="M9" s="3"/>
    </row>
    <row r="10" spans="2:17" ht="20.100000000000001" customHeight="1" x14ac:dyDescent="0.25">
      <c r="B10" s="18" t="s">
        <v>19</v>
      </c>
      <c r="C10" s="5">
        <v>7</v>
      </c>
      <c r="D10" s="5">
        <v>7</v>
      </c>
      <c r="E10" s="5">
        <v>8</v>
      </c>
      <c r="F10" s="5">
        <v>9</v>
      </c>
      <c r="G10" s="5">
        <v>10</v>
      </c>
      <c r="H10" s="5">
        <v>4</v>
      </c>
      <c r="I10" s="14">
        <v>7</v>
      </c>
      <c r="J10" s="15">
        <v>0.18</v>
      </c>
      <c r="K10" s="28">
        <f>(SUMPRODUCT(C19:H19,$C$11:$H$11) -J19*I10 - SUMPRODUCT(C19:H19,C10:H10))*J10</f>
        <v>24840000</v>
      </c>
      <c r="L10" s="28"/>
    </row>
    <row r="11" spans="2:17" ht="20.100000000000001" customHeight="1" x14ac:dyDescent="0.25">
      <c r="B11" s="7" t="s">
        <v>23</v>
      </c>
      <c r="C11" s="14">
        <v>45</v>
      </c>
      <c r="D11" s="14">
        <v>40</v>
      </c>
      <c r="E11" s="14">
        <v>38</v>
      </c>
      <c r="F11" s="14">
        <v>36</v>
      </c>
      <c r="G11" s="14">
        <v>39</v>
      </c>
      <c r="H11" s="14">
        <v>34</v>
      </c>
      <c r="J11" s="19" t="s">
        <v>21</v>
      </c>
      <c r="K11" s="28">
        <f>SUM(K5:L10)</f>
        <v>332630000</v>
      </c>
      <c r="L11" s="28"/>
    </row>
    <row r="13" spans="2:17" ht="20.100000000000001" customHeight="1" x14ac:dyDescent="0.25">
      <c r="B13" s="20"/>
      <c r="C13" s="19" t="s">
        <v>28</v>
      </c>
      <c r="D13" s="19" t="s">
        <v>29</v>
      </c>
      <c r="E13" s="19" t="s">
        <v>30</v>
      </c>
      <c r="F13" s="19" t="s">
        <v>31</v>
      </c>
      <c r="G13" s="19" t="s">
        <v>32</v>
      </c>
      <c r="H13" s="19" t="s">
        <v>33</v>
      </c>
      <c r="J13" s="9" t="s">
        <v>4</v>
      </c>
      <c r="K13" s="10"/>
      <c r="L13" s="9" t="s">
        <v>5</v>
      </c>
    </row>
    <row r="14" spans="2:17" ht="20.100000000000001" customHeight="1" x14ac:dyDescent="0.25">
      <c r="B14" s="18" t="s">
        <v>14</v>
      </c>
      <c r="C14" s="6">
        <v>6000000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J14" s="6">
        <f>SUM(C14:H14)</f>
        <v>6000000</v>
      </c>
      <c r="K14" s="4" t="s">
        <v>6</v>
      </c>
      <c r="L14" s="22">
        <v>6000000</v>
      </c>
    </row>
    <row r="15" spans="2:17" ht="20.100000000000001" customHeight="1" x14ac:dyDescent="0.25">
      <c r="B15" s="18" t="s">
        <v>15</v>
      </c>
      <c r="C15" s="6">
        <v>4000000</v>
      </c>
      <c r="D15" s="6">
        <v>2000000</v>
      </c>
      <c r="E15" s="6">
        <v>0</v>
      </c>
      <c r="F15" s="6">
        <v>0</v>
      </c>
      <c r="G15" s="6">
        <v>0</v>
      </c>
      <c r="H15" s="6">
        <v>0</v>
      </c>
      <c r="J15" s="6">
        <f t="shared" ref="J15:J19" si="1">SUM(C15:H15)</f>
        <v>6000000</v>
      </c>
      <c r="K15" s="4" t="s">
        <v>6</v>
      </c>
      <c r="L15" s="22">
        <v>6000000</v>
      </c>
    </row>
    <row r="16" spans="2:17" ht="20.100000000000001" customHeight="1" x14ac:dyDescent="0.25">
      <c r="B16" s="18" t="s">
        <v>16</v>
      </c>
      <c r="C16" s="6">
        <v>0</v>
      </c>
      <c r="D16" s="6">
        <v>0</v>
      </c>
      <c r="E16" s="6">
        <v>3000000</v>
      </c>
      <c r="F16" s="6">
        <v>3000000</v>
      </c>
      <c r="G16" s="6">
        <v>0</v>
      </c>
      <c r="H16" s="6">
        <v>0</v>
      </c>
      <c r="J16" s="6">
        <f t="shared" si="1"/>
        <v>6000000</v>
      </c>
      <c r="K16" s="4" t="s">
        <v>6</v>
      </c>
      <c r="L16" s="22">
        <v>6000000</v>
      </c>
    </row>
    <row r="17" spans="2:12" ht="20.100000000000001" customHeight="1" x14ac:dyDescent="0.25">
      <c r="B17" s="18" t="s">
        <v>17</v>
      </c>
      <c r="C17" s="6">
        <v>5000000</v>
      </c>
      <c r="D17" s="6">
        <v>0</v>
      </c>
      <c r="E17" s="6">
        <v>0</v>
      </c>
      <c r="F17" s="6">
        <v>1000000</v>
      </c>
      <c r="G17" s="6">
        <v>0</v>
      </c>
      <c r="H17" s="6">
        <v>0</v>
      </c>
      <c r="J17" s="6">
        <f t="shared" si="1"/>
        <v>6000000</v>
      </c>
      <c r="K17" s="4" t="s">
        <v>6</v>
      </c>
      <c r="L17" s="22">
        <v>6000000</v>
      </c>
    </row>
    <row r="18" spans="2:12" ht="20.100000000000001" customHeight="1" x14ac:dyDescent="0.25">
      <c r="B18" s="18" t="s">
        <v>18</v>
      </c>
      <c r="C18" s="6">
        <v>1000000</v>
      </c>
      <c r="D18" s="6">
        <v>0</v>
      </c>
      <c r="E18" s="6">
        <v>0</v>
      </c>
      <c r="F18" s="6">
        <v>0</v>
      </c>
      <c r="G18" s="6">
        <v>5000000</v>
      </c>
      <c r="H18" s="6">
        <v>0</v>
      </c>
      <c r="J18" s="6">
        <f t="shared" si="1"/>
        <v>6000000</v>
      </c>
      <c r="K18" s="4" t="s">
        <v>6</v>
      </c>
      <c r="L18" s="22">
        <v>6000000</v>
      </c>
    </row>
    <row r="19" spans="2:12" ht="20.100000000000001" customHeight="1" x14ac:dyDescent="0.25">
      <c r="B19" s="18" t="s">
        <v>19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6000000</v>
      </c>
      <c r="J19" s="6">
        <f t="shared" si="1"/>
        <v>6000000</v>
      </c>
      <c r="K19" s="4" t="s">
        <v>6</v>
      </c>
      <c r="L19" s="22">
        <v>6000000</v>
      </c>
    </row>
    <row r="21" spans="2:12" ht="20.100000000000001" customHeight="1" x14ac:dyDescent="0.25">
      <c r="B21" s="23" t="s">
        <v>7</v>
      </c>
      <c r="C21" s="6">
        <f>SUM(C14:C19)</f>
        <v>16000000</v>
      </c>
      <c r="D21" s="6">
        <f t="shared" ref="D21:H21" si="2">SUM(D14:D19)</f>
        <v>2000000</v>
      </c>
      <c r="E21" s="6">
        <f t="shared" si="2"/>
        <v>3000000</v>
      </c>
      <c r="F21" s="6">
        <f t="shared" si="2"/>
        <v>4000000</v>
      </c>
      <c r="G21" s="6">
        <f t="shared" si="2"/>
        <v>5000000</v>
      </c>
      <c r="H21" s="6">
        <f t="shared" si="2"/>
        <v>6000000</v>
      </c>
    </row>
    <row r="22" spans="2:12" ht="20.100000000000001" customHeight="1" x14ac:dyDescent="0.25">
      <c r="B22" s="21"/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  <c r="H22" s="4" t="s">
        <v>8</v>
      </c>
    </row>
    <row r="23" spans="2:12" ht="20.100000000000001" customHeight="1" x14ac:dyDescent="0.25">
      <c r="B23" s="23" t="s">
        <v>9</v>
      </c>
      <c r="C23" s="26">
        <v>1000000</v>
      </c>
      <c r="D23" s="26">
        <v>2000000</v>
      </c>
      <c r="E23" s="26">
        <v>3000000</v>
      </c>
      <c r="F23" s="26">
        <v>4000000</v>
      </c>
      <c r="G23" s="26">
        <v>5000000</v>
      </c>
      <c r="H23" s="26">
        <v>6000000</v>
      </c>
    </row>
    <row r="24" spans="2:12" ht="96" customHeight="1" x14ac:dyDescent="0.25"/>
  </sheetData>
  <mergeCells count="9">
    <mergeCell ref="K8:L8"/>
    <mergeCell ref="K9:L9"/>
    <mergeCell ref="K10:L10"/>
    <mergeCell ref="K11:L11"/>
    <mergeCell ref="B2:L2"/>
    <mergeCell ref="K4:L4"/>
    <mergeCell ref="K5:L5"/>
    <mergeCell ref="K6:L6"/>
    <mergeCell ref="K7:L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(Case 1)</vt:lpstr>
      <vt:lpstr>Solution of Case 1</vt:lpstr>
      <vt:lpstr>Dataset (Case 2)</vt:lpstr>
      <vt:lpstr>Solution of 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mursalin</dc:creator>
  <cp:lastModifiedBy>mursalin</cp:lastModifiedBy>
  <dcterms:created xsi:type="dcterms:W3CDTF">2022-09-29T06:55:49Z</dcterms:created>
  <dcterms:modified xsi:type="dcterms:W3CDTF">2022-09-29T11:06:06Z</dcterms:modified>
</cp:coreProperties>
</file>